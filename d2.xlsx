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mensual" sheetId="1" state="visible" r:id="rId3"/>
    <sheet name="Km diarios" sheetId="2" state="visible" r:id="rId4"/>
    <sheet name="Excesos &gt;120 km-h" sheetId="3" state="visible" r:id="rId5"/>
    <sheet name="Uso de mo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Citroën NWG 124: desde el 10/09 el equipo devuelve ERROR / sin datos. Revisar equipo GPS.</t>
        </r>
      </text>
    </comment>
    <comment ref="S6" authorId="0">
      <text>
        <r>
          <rPr>
            <sz val="10"/>
            <rFont val="Arial"/>
            <family val="2"/>
          </rPr>
          <t xml:space="preserve">Ford AE 241 FS 18/09: el GPS calculó 1.267 km (salto de señal); se usa el odómetro: 226 km.</t>
        </r>
      </text>
    </comment>
  </commentList>
</comments>
</file>

<file path=xl/sharedStrings.xml><?xml version="1.0" encoding="utf-8"?>
<sst xmlns="http://schemas.openxmlformats.org/spreadsheetml/2006/main" count="109" uniqueCount="79">
  <si>
    <t xml:space="preserve">Resumen mensual de flota — Septiembre 2026</t>
  </si>
  <si>
    <t xml:space="preserve">Fuente: Gestya (Distancias Diarias). Km mes = suma de la hoja 'Km diarios'.</t>
  </si>
  <si>
    <t xml:space="preserve">Vehículo</t>
  </si>
  <si>
    <t xml:space="preserve">Km mes (odómetro)</t>
  </si>
  <si>
    <t xml:space="preserve">Km GPS calculado</t>
  </si>
  <si>
    <t xml:space="preserve">Diferencia GPS vs odómetro</t>
  </si>
  <si>
    <t xml:space="preserve">Días con uso</t>
  </si>
  <si>
    <t xml:space="preserve">Prom. km/día activo</t>
  </si>
  <si>
    <t xml:space="preserve">% km de la flota</t>
  </si>
  <si>
    <t xml:space="preserve">Vel. máxima (km/h)</t>
  </si>
  <si>
    <t xml:space="preserve">Vel. promedio (km/h)</t>
  </si>
  <si>
    <t xml:space="preserve">Superó 120 km/h</t>
  </si>
  <si>
    <t xml:space="preserve">Horas en movimiento</t>
  </si>
  <si>
    <t xml:space="preserve">Horas detenido</t>
  </si>
  <si>
    <t xml:space="preserve">CITROEN (NWG 124)</t>
  </si>
  <si>
    <t xml:space="preserve">FORD (AE 241 FS)</t>
  </si>
  <si>
    <t xml:space="preserve">FORD (AF 630 PC)</t>
  </si>
  <si>
    <t xml:space="preserve">M BENZ (AG 281 ZJ)</t>
  </si>
  <si>
    <t xml:space="preserve">M. BENZ (AE 149 OR)</t>
  </si>
  <si>
    <t xml:space="preserve">M. BENZ (OUG 184)</t>
  </si>
  <si>
    <t xml:space="preserve">RENAULT (AE 547 NW)</t>
  </si>
  <si>
    <t xml:space="preserve">RENAULT (AE 615 LU)</t>
  </si>
  <si>
    <t xml:space="preserve">RENAULT (AF 751 HM)</t>
  </si>
  <si>
    <t xml:space="preserve">RENAULT (AH 387 NS)</t>
  </si>
  <si>
    <t xml:space="preserve">RENAULT (AH 530 QG)</t>
  </si>
  <si>
    <t xml:space="preserve">TOTAL / PROMEDIO FLOTA</t>
  </si>
  <si>
    <t xml:space="preserve">Horas en movimiento / detenido: tiempos de Gestya (movimiento = vehículo desplazándose). NO equivalen a horas de motor encendido/apagado: el dato de motor (reporte 'Horas de Marcha') queda pendiente.</t>
  </si>
  <si>
    <t xml:space="preserve">Kilómetros recorridos por día — Septiembre 2026</t>
  </si>
  <si>
    <t xml:space="preserve">Fuente: Gestya, reporte Distancias Diarias (distancia reportada por odómetro, km redondeados). Período 01/09/2026 00:00 – 30/09/2026 23:59.</t>
  </si>
  <si>
    <t xml:space="preserve">01/09</t>
  </si>
  <si>
    <t xml:space="preserve">02/09</t>
  </si>
  <si>
    <t xml:space="preserve">03/09</t>
  </si>
  <si>
    <t xml:space="preserve">04/09</t>
  </si>
  <si>
    <t xml:space="preserve">05/09</t>
  </si>
  <si>
    <t xml:space="preserve">06/09</t>
  </si>
  <si>
    <t xml:space="preserve">07/09</t>
  </si>
  <si>
    <t xml:space="preserve">08/09</t>
  </si>
  <si>
    <t xml:space="preserve">09/09</t>
  </si>
  <si>
    <t xml:space="preserve">10/09</t>
  </si>
  <si>
    <t xml:space="preserve">11/09</t>
  </si>
  <si>
    <t xml:space="preserve">12/09</t>
  </si>
  <si>
    <t xml:space="preserve">13/09</t>
  </si>
  <si>
    <t xml:space="preserve">14/09</t>
  </si>
  <si>
    <t xml:space="preserve">15/09</t>
  </si>
  <si>
    <t xml:space="preserve">16/09</t>
  </si>
  <si>
    <t xml:space="preserve">17/09</t>
  </si>
  <si>
    <t xml:space="preserve">18/09</t>
  </si>
  <si>
    <t xml:space="preserve">19/09</t>
  </si>
  <si>
    <t xml:space="preserve">20/09</t>
  </si>
  <si>
    <t xml:space="preserve">21/09</t>
  </si>
  <si>
    <t xml:space="preserve">22/09</t>
  </si>
  <si>
    <t xml:space="preserve">23/09</t>
  </si>
  <si>
    <t xml:space="preserve">24/09</t>
  </si>
  <si>
    <t xml:space="preserve">25/09</t>
  </si>
  <si>
    <t xml:space="preserve">26/09</t>
  </si>
  <si>
    <t xml:space="preserve">27/09</t>
  </si>
  <si>
    <t xml:space="preserve">28/09</t>
  </si>
  <si>
    <t xml:space="preserve">29/09</t>
  </si>
  <si>
    <t xml:space="preserve">30/09</t>
  </si>
  <si>
    <t xml:space="preserve">Total mes</t>
  </si>
  <si>
    <t xml:space="preserve">TOTAL FLOTA</t>
  </si>
  <si>
    <t xml:space="preserve">Notas del analista:</t>
  </si>
  <si>
    <t xml:space="preserve">• Domingos (06, 13, 20 y 27/09) y 27-28/09 sin actividad prácticamente en toda la flota.</t>
  </si>
  <si>
    <t xml:space="preserve">• Citroën NWG 124: deja de reportar desde el 10/09 → probable falla o desconexión del equipo GPS.</t>
  </si>
  <si>
    <t xml:space="preserve">• Renault AF 751 HM: 0 km todo el mes → vehículo inmovilizado o equipo sin comunicación.</t>
  </si>
  <si>
    <t xml:space="preserve">• Ford AE 241 FS: la distancia calculada por GPS (2.341 km) duplica la del odómetro (1.137 km) por saltos de señal; se toma el odómetro.</t>
  </si>
  <si>
    <t xml:space="preserve">Excesos de velocidad &gt; 120 km/h — Septiembre 2026</t>
  </si>
  <si>
    <t xml:space="preserve">ESTADO: PRELIMINAR. Se identifican los vehículos según la velocidad máxima del mes. El detalle de cada evento (fecha, hora, ubicación, duración) queda pendiente del reporte 'Excesos de Velocidad' de Gestya.</t>
  </si>
  <si>
    <t xml:space="preserve">Vel. máxima del mes (km/h)</t>
  </si>
  <si>
    <t xml:space="preserve">Exceso sobre 120 (km/h)</t>
  </si>
  <si>
    <t xml:space="preserve">Nivel de riesgo</t>
  </si>
  <si>
    <t xml:space="preserve">Lectura: el Renault AE 547 NW llegó a 174 km/h (54 km/h por encima del límite) — es el caso prioritario para hablar con el conductor.</t>
  </si>
  <si>
    <t xml:space="preserve">Horario de uso del motor — Septiembre 2026</t>
  </si>
  <si>
    <t xml:space="preserve">PENDIENTE: los datos de horas de motor encendido/apagado (reportes 'Horas de Marcha' y 'Motor Estacionario' de Gestya) no se pudieron extraer porque se cortó la conexión con el navegador.</t>
  </si>
  <si>
    <t xml:space="preserve">Horas motor encendido</t>
  </si>
  <si>
    <t xml:space="preserve">Horas motor apagado</t>
  </si>
  <si>
    <t xml:space="preserve">Hora 1er encendido (prom.)</t>
  </si>
  <si>
    <t xml:space="preserve">Hora último apagado (prom.)</t>
  </si>
  <si>
    <t xml:space="preserve">Horas en ralentí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</si>
</sst>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#,##0.0;[RED]\-#,##0.0"/>
    <numFmt numFmtId="168" formatCode="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9C000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f aca="false">'Km diarios'!AF5</f>
        <v>714</v>
      </c>
      <c r="C5" s="6" t="n">
        <v>654.12</v>
      </c>
      <c r="D5" s="7" t="n">
        <f aca="false">C5-B5</f>
        <v>-59.88</v>
      </c>
      <c r="E5" s="8" t="n">
        <f aca="false">'Km diarios'!AG5</f>
        <v>7</v>
      </c>
      <c r="F5" s="6" t="n">
        <f aca="false">'Km diarios'!AH5</f>
        <v>102</v>
      </c>
      <c r="G5" s="9" t="n">
        <f aca="false">IFERROR(B5/B$16,0)</f>
        <v>0.0302337398373984</v>
      </c>
      <c r="H5" s="8" t="n">
        <v>114</v>
      </c>
      <c r="I5" s="8" t="n">
        <v>25</v>
      </c>
      <c r="J5" s="10" t="str">
        <f aca="false">IF(H5&gt;120,"SÍ","No")</f>
        <v>No</v>
      </c>
      <c r="K5" s="6" t="n">
        <v>21.75</v>
      </c>
      <c r="L5" s="6" t="n">
        <v>78.4</v>
      </c>
    </row>
    <row r="6" customFormat="false" ht="15" hidden="false" customHeight="false" outlineLevel="0" collapsed="false">
      <c r="A6" s="4" t="s">
        <v>15</v>
      </c>
      <c r="B6" s="5" t="n">
        <f aca="false">'Km diarios'!AF6</f>
        <v>1136</v>
      </c>
      <c r="C6" s="6" t="n">
        <v>2341.43</v>
      </c>
      <c r="D6" s="7" t="n">
        <f aca="false">C6-B6</f>
        <v>1205.43</v>
      </c>
      <c r="E6" s="8" t="n">
        <f aca="false">'Km diarios'!AG6</f>
        <v>13</v>
      </c>
      <c r="F6" s="6" t="n">
        <f aca="false">'Km diarios'!AH6</f>
        <v>87.3846153846154</v>
      </c>
      <c r="G6" s="9" t="n">
        <f aca="false">IFERROR(B6/B$16,0)</f>
        <v>0.0481029810298103</v>
      </c>
      <c r="H6" s="8" t="n">
        <v>90</v>
      </c>
      <c r="I6" s="8" t="n">
        <v>34</v>
      </c>
      <c r="J6" s="10" t="str">
        <f aca="false">IF(H6&gt;120,"SÍ","No")</f>
        <v>No</v>
      </c>
      <c r="K6" s="6" t="n">
        <v>27.47</v>
      </c>
      <c r="L6" s="6" t="n">
        <v>156.95</v>
      </c>
    </row>
    <row r="7" customFormat="false" ht="15" hidden="false" customHeight="false" outlineLevel="0" collapsed="false">
      <c r="A7" s="4" t="s">
        <v>16</v>
      </c>
      <c r="B7" s="5" t="n">
        <f aca="false">'Km diarios'!AF7</f>
        <v>2927</v>
      </c>
      <c r="C7" s="6" t="n">
        <v>2736.89</v>
      </c>
      <c r="D7" s="7" t="n">
        <f aca="false">C7-B7</f>
        <v>-190.11</v>
      </c>
      <c r="E7" s="8" t="n">
        <f aca="false">'Km diarios'!AG7</f>
        <v>25</v>
      </c>
      <c r="F7" s="6" t="n">
        <f aca="false">'Km diarios'!AH7</f>
        <v>117.08</v>
      </c>
      <c r="G7" s="9" t="n">
        <f aca="false">IFERROR(B7/B$16,0)</f>
        <v>0.123941395663957</v>
      </c>
      <c r="H7" s="8" t="n">
        <v>122</v>
      </c>
      <c r="I7" s="8" t="n">
        <v>24</v>
      </c>
      <c r="J7" s="10" t="str">
        <f aca="false">IF(H7&gt;120,"SÍ","No")</f>
        <v>SÍ</v>
      </c>
      <c r="K7" s="6" t="n">
        <v>96.24</v>
      </c>
      <c r="L7" s="6" t="n">
        <v>171.81</v>
      </c>
    </row>
    <row r="8" customFormat="false" ht="15" hidden="false" customHeight="false" outlineLevel="0" collapsed="false">
      <c r="A8" s="4" t="s">
        <v>17</v>
      </c>
      <c r="B8" s="5" t="n">
        <f aca="false">'Km diarios'!AF8</f>
        <v>6401</v>
      </c>
      <c r="C8" s="6" t="n">
        <v>5758.91</v>
      </c>
      <c r="D8" s="7" t="n">
        <f aca="false">C8-B8</f>
        <v>-642.09</v>
      </c>
      <c r="E8" s="8" t="n">
        <f aca="false">'Km diarios'!AG8</f>
        <v>21</v>
      </c>
      <c r="F8" s="6" t="n">
        <f aca="false">'Km diarios'!AH8</f>
        <v>304.809523809524</v>
      </c>
      <c r="G8" s="9" t="n">
        <f aca="false">IFERROR(B8/B$16,0)</f>
        <v>0.271045054200542</v>
      </c>
      <c r="H8" s="8" t="n">
        <v>92</v>
      </c>
      <c r="I8" s="8" t="n">
        <v>57</v>
      </c>
      <c r="J8" s="10" t="str">
        <f aca="false">IF(H8&gt;120,"SÍ","No")</f>
        <v>No</v>
      </c>
      <c r="K8" s="6" t="n">
        <v>88.49</v>
      </c>
      <c r="L8" s="6" t="n">
        <v>554.91</v>
      </c>
    </row>
    <row r="9" customFormat="false" ht="15" hidden="false" customHeight="false" outlineLevel="0" collapsed="false">
      <c r="A9" s="4" t="s">
        <v>18</v>
      </c>
      <c r="B9" s="5" t="n">
        <f aca="false">'Km diarios'!AF9</f>
        <v>1558</v>
      </c>
      <c r="C9" s="6" t="n">
        <v>1432.4</v>
      </c>
      <c r="D9" s="7" t="n">
        <f aca="false">C9-B9</f>
        <v>-125.6</v>
      </c>
      <c r="E9" s="8" t="n">
        <f aca="false">'Km diarios'!AG9</f>
        <v>23</v>
      </c>
      <c r="F9" s="6" t="n">
        <f aca="false">'Km diarios'!AH9</f>
        <v>67.7391304347826</v>
      </c>
      <c r="G9" s="9" t="n">
        <f aca="false">IFERROR(B9/B$16,0)</f>
        <v>0.0659722222222222</v>
      </c>
      <c r="H9" s="8" t="n">
        <v>95</v>
      </c>
      <c r="I9" s="8" t="n">
        <v>20</v>
      </c>
      <c r="J9" s="10" t="str">
        <f aca="false">IF(H9&gt;120,"SÍ","No")</f>
        <v>No</v>
      </c>
      <c r="K9" s="6" t="n">
        <v>61.39</v>
      </c>
      <c r="L9" s="6" t="n">
        <v>170.55</v>
      </c>
    </row>
    <row r="10" customFormat="false" ht="15" hidden="false" customHeight="false" outlineLevel="0" collapsed="false">
      <c r="A10" s="4" t="s">
        <v>19</v>
      </c>
      <c r="B10" s="5" t="n">
        <f aca="false">'Km diarios'!AF10</f>
        <v>279</v>
      </c>
      <c r="C10" s="6" t="n">
        <v>261.21</v>
      </c>
      <c r="D10" s="7" t="n">
        <f aca="false">C10-B10</f>
        <v>-17.79</v>
      </c>
      <c r="E10" s="8" t="n">
        <f aca="false">'Km diarios'!AG10</f>
        <v>11</v>
      </c>
      <c r="F10" s="6" t="n">
        <f aca="false">'Km diarios'!AH10</f>
        <v>25.3636363636364</v>
      </c>
      <c r="G10" s="9" t="n">
        <f aca="false">IFERROR(B10/B$16,0)</f>
        <v>0.0118140243902439</v>
      </c>
      <c r="H10" s="8" t="n">
        <v>81</v>
      </c>
      <c r="I10" s="8" t="n">
        <v>19</v>
      </c>
      <c r="J10" s="10" t="str">
        <f aca="false">IF(H10&gt;120,"SÍ","No")</f>
        <v>No</v>
      </c>
      <c r="K10" s="6" t="n">
        <v>11.21</v>
      </c>
      <c r="L10" s="6" t="n">
        <v>707.8</v>
      </c>
    </row>
    <row r="11" customFormat="false" ht="15" hidden="false" customHeight="false" outlineLevel="0" collapsed="false">
      <c r="A11" s="4" t="s">
        <v>20</v>
      </c>
      <c r="B11" s="5" t="n">
        <f aca="false">'Km diarios'!AF11</f>
        <v>2721</v>
      </c>
      <c r="C11" s="6" t="n">
        <v>2613.67</v>
      </c>
      <c r="D11" s="7" t="n">
        <f aca="false">C11-B11</f>
        <v>-107.33</v>
      </c>
      <c r="E11" s="8" t="n">
        <f aca="false">'Km diarios'!AG11</f>
        <v>26</v>
      </c>
      <c r="F11" s="6" t="n">
        <f aca="false">'Km diarios'!AH11</f>
        <v>104.653846153846</v>
      </c>
      <c r="G11" s="9" t="n">
        <f aca="false">IFERROR(B11/B$16,0)</f>
        <v>0.115218495934959</v>
      </c>
      <c r="H11" s="8" t="n">
        <v>174</v>
      </c>
      <c r="I11" s="8" t="n">
        <v>31</v>
      </c>
      <c r="J11" s="10" t="str">
        <f aca="false">IF(H11&gt;120,"SÍ","No")</f>
        <v>SÍ</v>
      </c>
      <c r="K11" s="6" t="n">
        <v>63.93</v>
      </c>
      <c r="L11" s="6" t="n">
        <v>241.82</v>
      </c>
    </row>
    <row r="12" customFormat="false" ht="15" hidden="false" customHeight="false" outlineLevel="0" collapsed="false">
      <c r="A12" s="4" t="s">
        <v>21</v>
      </c>
      <c r="B12" s="5" t="n">
        <f aca="false">'Km diarios'!AF12</f>
        <v>1707</v>
      </c>
      <c r="C12" s="6" t="n">
        <v>1524.85</v>
      </c>
      <c r="D12" s="7" t="n">
        <f aca="false">C12-B12</f>
        <v>-182.15</v>
      </c>
      <c r="E12" s="8" t="n">
        <f aca="false">'Km diarios'!AG12</f>
        <v>25</v>
      </c>
      <c r="F12" s="6" t="n">
        <f aca="false">'Km diarios'!AH12</f>
        <v>68.28</v>
      </c>
      <c r="G12" s="9" t="n">
        <f aca="false">IFERROR(B12/B$16,0)</f>
        <v>0.0722815040650407</v>
      </c>
      <c r="H12" s="8" t="n">
        <v>127</v>
      </c>
      <c r="I12" s="8" t="n">
        <v>23</v>
      </c>
      <c r="J12" s="10" t="str">
        <f aca="false">IF(H12&gt;120,"SÍ","No")</f>
        <v>SÍ</v>
      </c>
      <c r="K12" s="6" t="n">
        <v>54.76</v>
      </c>
      <c r="L12" s="6" t="n">
        <v>415.64</v>
      </c>
    </row>
    <row r="13" customFormat="false" ht="15" hidden="false" customHeight="false" outlineLevel="0" collapsed="false">
      <c r="A13" s="4" t="s">
        <v>22</v>
      </c>
      <c r="B13" s="5" t="n">
        <f aca="false">'Km diarios'!AF13</f>
        <v>0</v>
      </c>
      <c r="C13" s="6" t="n">
        <v>0</v>
      </c>
      <c r="D13" s="7" t="n">
        <f aca="false">C13-B13</f>
        <v>0</v>
      </c>
      <c r="E13" s="8" t="n">
        <f aca="false">'Km diarios'!AG13</f>
        <v>0</v>
      </c>
      <c r="F13" s="6" t="n">
        <f aca="false">'Km diarios'!AH13</f>
        <v>0</v>
      </c>
      <c r="G13" s="9" t="n">
        <f aca="false">IFERROR(B13/B$16,0)</f>
        <v>0</v>
      </c>
      <c r="H13" s="8" t="n">
        <v>0</v>
      </c>
      <c r="I13" s="8" t="n">
        <v>0</v>
      </c>
      <c r="J13" s="10" t="str">
        <f aca="false">IF(H13&gt;120,"SÍ","No")</f>
        <v>No</v>
      </c>
      <c r="K13" s="6" t="n">
        <v>0</v>
      </c>
      <c r="L13" s="6" t="n">
        <v>718.97</v>
      </c>
    </row>
    <row r="14" customFormat="false" ht="15" hidden="false" customHeight="false" outlineLevel="0" collapsed="false">
      <c r="A14" s="4" t="s">
        <v>23</v>
      </c>
      <c r="B14" s="5" t="n">
        <f aca="false">'Km diarios'!AF14</f>
        <v>2663</v>
      </c>
      <c r="C14" s="6" t="n">
        <v>2400.68</v>
      </c>
      <c r="D14" s="7" t="n">
        <f aca="false">C14-B14</f>
        <v>-262.32</v>
      </c>
      <c r="E14" s="8" t="n">
        <f aca="false">'Km diarios'!AG14</f>
        <v>26</v>
      </c>
      <c r="F14" s="6" t="n">
        <f aca="false">'Km diarios'!AH14</f>
        <v>102.423076923077</v>
      </c>
      <c r="G14" s="9" t="n">
        <f aca="false">IFERROR(B14/B$16,0)</f>
        <v>0.112762533875339</v>
      </c>
      <c r="H14" s="8" t="n">
        <v>103</v>
      </c>
      <c r="I14" s="8" t="n">
        <v>24</v>
      </c>
      <c r="J14" s="10" t="str">
        <f aca="false">IF(H14&gt;120,"SÍ","No")</f>
        <v>No</v>
      </c>
      <c r="K14" s="6" t="n">
        <v>83.42</v>
      </c>
      <c r="L14" s="6" t="n">
        <v>542.97</v>
      </c>
    </row>
    <row r="15" customFormat="false" ht="15" hidden="false" customHeight="false" outlineLevel="0" collapsed="false">
      <c r="A15" s="4" t="s">
        <v>24</v>
      </c>
      <c r="B15" s="5" t="n">
        <f aca="false">'Km diarios'!AF15</f>
        <v>3510</v>
      </c>
      <c r="C15" s="6" t="n">
        <v>3451.65</v>
      </c>
      <c r="D15" s="7" t="n">
        <f aca="false">C15-B15</f>
        <v>-58.3499999999999</v>
      </c>
      <c r="E15" s="8" t="n">
        <f aca="false">'Km diarios'!AG15</f>
        <v>24</v>
      </c>
      <c r="F15" s="6" t="n">
        <f aca="false">'Km diarios'!AH15</f>
        <v>146.25</v>
      </c>
      <c r="G15" s="9" t="n">
        <f aca="false">IFERROR(B15/B$16,0)</f>
        <v>0.148628048780488</v>
      </c>
      <c r="H15" s="8" t="n">
        <v>115</v>
      </c>
      <c r="I15" s="8" t="n">
        <v>41</v>
      </c>
      <c r="J15" s="10" t="str">
        <f aca="false">IF(H15&gt;120,"SÍ","No")</f>
        <v>No</v>
      </c>
      <c r="K15" s="6" t="n">
        <v>66.28</v>
      </c>
      <c r="L15" s="6" t="n">
        <v>652.74</v>
      </c>
    </row>
    <row r="16" customFormat="false" ht="15" hidden="false" customHeight="false" outlineLevel="0" collapsed="false">
      <c r="A16" s="11" t="s">
        <v>25</v>
      </c>
      <c r="B16" s="12" t="n">
        <f aca="false">SUM(B5:B15)</f>
        <v>23616</v>
      </c>
      <c r="C16" s="13" t="n">
        <f aca="false">SUM(C5:C15)</f>
        <v>23175.81</v>
      </c>
      <c r="D16" s="14" t="n">
        <f aca="false">C16-B16</f>
        <v>-440.189999999999</v>
      </c>
      <c r="E16" s="15" t="n">
        <f aca="false">SUM(E5:E15)</f>
        <v>201</v>
      </c>
      <c r="F16" s="13" t="n">
        <f aca="false">IFERROR(B16/E16,0)</f>
        <v>117.492537313433</v>
      </c>
      <c r="G16" s="16" t="n">
        <f aca="false">SUM(G5:G15)</f>
        <v>1</v>
      </c>
      <c r="H16" s="15" t="n">
        <f aca="false">MAX(H5:H15)</f>
        <v>174</v>
      </c>
      <c r="I16" s="15"/>
      <c r="J16" s="17" t="str">
        <f aca="false">COUNTIF(J5:J15,"SÍ")&amp;" vehículos"</f>
        <v>3 vehículos</v>
      </c>
      <c r="K16" s="13" t="n">
        <f aca="false">SUM(K5:K15)</f>
        <v>574.94</v>
      </c>
      <c r="L16" s="13" t="n">
        <f aca="false">SUM(L5:L15)</f>
        <v>4412.56</v>
      </c>
    </row>
    <row r="18" customFormat="false" ht="15" hidden="false" customHeight="false" outlineLevel="0" collapsed="false">
      <c r="A18" s="2" t="s">
        <v>26</v>
      </c>
    </row>
  </sheetData>
  <conditionalFormatting sqref="H5:H15">
    <cfRule type="cellIs" priority="2" operator="greaterThan" aboveAverage="0" equalAverage="0" bottom="0" percent="0" rank="0" text="" dxfId="0">
      <formula>120</formula>
    </cfRule>
  </conditionalFormatting>
  <conditionalFormatting sqref="J5:J15">
    <cfRule type="cellIs" priority="3" operator="equal" aboveAverage="0" equalAverage="0" bottom="0" percent="0" rank="0" text="" dxfId="1">
      <formula>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1" min="2" style="0" width="6.51"/>
    <col collapsed="false" customWidth="true" hidden="false" outlineLevel="0" max="34" min="32" style="0" width="11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31.5" hidden="false" customHeight="true" outlineLevel="0" collapsed="false">
      <c r="A4" s="3" t="s">
        <v>2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  <c r="AE4" s="3" t="s">
        <v>58</v>
      </c>
      <c r="AF4" s="3" t="s">
        <v>59</v>
      </c>
      <c r="AG4" s="3" t="s">
        <v>6</v>
      </c>
      <c r="AH4" s="3" t="s">
        <v>7</v>
      </c>
    </row>
    <row r="5" customFormat="false" ht="15" hidden="false" customHeight="false" outlineLevel="0" collapsed="false">
      <c r="A5" s="4" t="s">
        <v>14</v>
      </c>
      <c r="B5" s="5" t="n">
        <v>106</v>
      </c>
      <c r="C5" s="5" t="n">
        <v>121</v>
      </c>
      <c r="D5" s="5" t="n">
        <v>119</v>
      </c>
      <c r="E5" s="5" t="n">
        <v>121</v>
      </c>
      <c r="F5" s="5" t="n">
        <v>61</v>
      </c>
      <c r="G5" s="5" t="n">
        <v>0</v>
      </c>
      <c r="H5" s="5" t="n">
        <v>132</v>
      </c>
      <c r="I5" s="5" t="n">
        <v>54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18" t="n">
        <f aca="false">SUM(B5:AE5)</f>
        <v>714</v>
      </c>
      <c r="AG5" s="18" t="n">
        <f aca="false">COUNTIF(B5:AE5,"&gt;0")</f>
        <v>7</v>
      </c>
      <c r="AH5" s="19" t="n">
        <f aca="false">IFERROR(AF5/AG5,0)</f>
        <v>102</v>
      </c>
    </row>
    <row r="6" customFormat="false" ht="15" hidden="false" customHeight="false" outlineLevel="0" collapsed="false">
      <c r="A6" s="4" t="s">
        <v>15</v>
      </c>
      <c r="B6" s="5" t="n">
        <v>0</v>
      </c>
      <c r="C6" s="5" t="n">
        <v>60</v>
      </c>
      <c r="D6" s="5" t="n">
        <v>0</v>
      </c>
      <c r="E6" s="5" t="n">
        <v>220</v>
      </c>
      <c r="F6" s="5" t="n">
        <v>227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76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1</v>
      </c>
      <c r="S6" s="5" t="n">
        <v>226</v>
      </c>
      <c r="T6" s="5" t="n">
        <v>214</v>
      </c>
      <c r="U6" s="5" t="n">
        <v>0</v>
      </c>
      <c r="V6" s="5" t="n">
        <v>4</v>
      </c>
      <c r="W6" s="5" t="n">
        <v>0</v>
      </c>
      <c r="X6" s="5" t="n">
        <v>0</v>
      </c>
      <c r="Y6" s="5" t="n">
        <v>5</v>
      </c>
      <c r="Z6" s="5" t="n">
        <v>23</v>
      </c>
      <c r="AA6" s="5" t="n">
        <v>11</v>
      </c>
      <c r="AB6" s="5" t="n">
        <v>0</v>
      </c>
      <c r="AC6" s="5" t="n">
        <v>0</v>
      </c>
      <c r="AD6" s="5" t="n">
        <v>64</v>
      </c>
      <c r="AE6" s="5" t="n">
        <v>5</v>
      </c>
      <c r="AF6" s="18" t="n">
        <f aca="false">SUM(B6:AE6)</f>
        <v>1136</v>
      </c>
      <c r="AG6" s="18" t="n">
        <f aca="false">COUNTIF(B6:AE6,"&gt;0")</f>
        <v>13</v>
      </c>
      <c r="AH6" s="19" t="n">
        <f aca="false">IFERROR(AF6/AG6,0)</f>
        <v>87.3846153846154</v>
      </c>
    </row>
    <row r="7" customFormat="false" ht="15" hidden="false" customHeight="false" outlineLevel="0" collapsed="false">
      <c r="A7" s="4" t="s">
        <v>16</v>
      </c>
      <c r="B7" s="5" t="n">
        <v>143</v>
      </c>
      <c r="C7" s="5" t="n">
        <v>105</v>
      </c>
      <c r="D7" s="5" t="n">
        <v>146</v>
      </c>
      <c r="E7" s="5" t="n">
        <v>159</v>
      </c>
      <c r="F7" s="5" t="n">
        <v>72</v>
      </c>
      <c r="G7" s="5" t="n">
        <v>0</v>
      </c>
      <c r="H7" s="5" t="n">
        <v>147</v>
      </c>
      <c r="I7" s="5" t="n">
        <v>156</v>
      </c>
      <c r="J7" s="5" t="n">
        <v>153</v>
      </c>
      <c r="K7" s="5" t="n">
        <v>72</v>
      </c>
      <c r="L7" s="5" t="n">
        <v>152</v>
      </c>
      <c r="M7" s="5" t="n">
        <v>33</v>
      </c>
      <c r="N7" s="5" t="n">
        <v>0</v>
      </c>
      <c r="O7" s="5" t="n">
        <v>101</v>
      </c>
      <c r="P7" s="5" t="n">
        <v>108</v>
      </c>
      <c r="Q7" s="5" t="n">
        <v>70</v>
      </c>
      <c r="R7" s="5" t="n">
        <v>59</v>
      </c>
      <c r="S7" s="5" t="n">
        <v>56</v>
      </c>
      <c r="T7" s="5" t="n">
        <v>33</v>
      </c>
      <c r="U7" s="5" t="n">
        <v>0</v>
      </c>
      <c r="V7" s="5" t="n">
        <v>176</v>
      </c>
      <c r="W7" s="5" t="n">
        <v>148</v>
      </c>
      <c r="X7" s="5" t="n">
        <v>142</v>
      </c>
      <c r="Y7" s="5" t="n">
        <v>149</v>
      </c>
      <c r="Z7" s="5" t="n">
        <v>161</v>
      </c>
      <c r="AA7" s="5" t="n">
        <v>85</v>
      </c>
      <c r="AB7" s="5" t="n">
        <v>0</v>
      </c>
      <c r="AC7" s="5" t="n">
        <v>0</v>
      </c>
      <c r="AD7" s="5" t="n">
        <v>149</v>
      </c>
      <c r="AE7" s="5" t="n">
        <v>152</v>
      </c>
      <c r="AF7" s="18" t="n">
        <f aca="false">SUM(B7:AE7)</f>
        <v>2927</v>
      </c>
      <c r="AG7" s="18" t="n">
        <f aca="false">COUNTIF(B7:AE7,"&gt;0")</f>
        <v>25</v>
      </c>
      <c r="AH7" s="19" t="n">
        <f aca="false">IFERROR(AF7/AG7,0)</f>
        <v>117.08</v>
      </c>
    </row>
    <row r="8" customFormat="false" ht="15" hidden="false" customHeight="false" outlineLevel="0" collapsed="false">
      <c r="A8" s="4" t="s">
        <v>17</v>
      </c>
      <c r="B8" s="5" t="n">
        <v>0</v>
      </c>
      <c r="C8" s="5" t="n">
        <v>282</v>
      </c>
      <c r="D8" s="5" t="n">
        <v>799</v>
      </c>
      <c r="E8" s="5" t="n">
        <v>174</v>
      </c>
      <c r="F8" s="5" t="n">
        <v>120</v>
      </c>
      <c r="G8" s="5" t="n">
        <v>0</v>
      </c>
      <c r="H8" s="5" t="n">
        <v>306</v>
      </c>
      <c r="I8" s="5" t="n">
        <v>360</v>
      </c>
      <c r="J8" s="5" t="n">
        <v>229</v>
      </c>
      <c r="K8" s="5" t="n">
        <v>441</v>
      </c>
      <c r="L8" s="5" t="n">
        <v>179</v>
      </c>
      <c r="M8" s="5" t="n">
        <v>204</v>
      </c>
      <c r="N8" s="5" t="n">
        <v>0</v>
      </c>
      <c r="O8" s="5" t="n">
        <v>12</v>
      </c>
      <c r="P8" s="5" t="n">
        <v>0</v>
      </c>
      <c r="Q8" s="5" t="n">
        <v>279</v>
      </c>
      <c r="R8" s="5" t="n">
        <v>750</v>
      </c>
      <c r="S8" s="5" t="n">
        <v>268</v>
      </c>
      <c r="T8" s="5" t="n">
        <v>0</v>
      </c>
      <c r="U8" s="5" t="n">
        <v>0</v>
      </c>
      <c r="V8" s="5" t="n">
        <v>304</v>
      </c>
      <c r="W8" s="5" t="n">
        <v>393</v>
      </c>
      <c r="X8" s="5" t="n">
        <v>159</v>
      </c>
      <c r="Y8" s="5" t="n">
        <v>452</v>
      </c>
      <c r="Z8" s="5" t="n">
        <v>189</v>
      </c>
      <c r="AA8" s="5" t="n">
        <v>225</v>
      </c>
      <c r="AB8" s="5" t="n">
        <v>0</v>
      </c>
      <c r="AC8" s="5" t="n">
        <v>0</v>
      </c>
      <c r="AD8" s="5" t="n">
        <v>0</v>
      </c>
      <c r="AE8" s="5" t="n">
        <v>276</v>
      </c>
      <c r="AF8" s="18" t="n">
        <f aca="false">SUM(B8:AE8)</f>
        <v>6401</v>
      </c>
      <c r="AG8" s="18" t="n">
        <f aca="false">COUNTIF(B8:AE8,"&gt;0")</f>
        <v>21</v>
      </c>
      <c r="AH8" s="19" t="n">
        <f aca="false">IFERROR(AF8/AG8,0)</f>
        <v>304.809523809524</v>
      </c>
    </row>
    <row r="9" customFormat="false" ht="15" hidden="false" customHeight="false" outlineLevel="0" collapsed="false">
      <c r="A9" s="4" t="s">
        <v>18</v>
      </c>
      <c r="B9" s="5" t="n">
        <v>64</v>
      </c>
      <c r="C9" s="5" t="n">
        <v>50</v>
      </c>
      <c r="D9" s="5" t="n">
        <v>56</v>
      </c>
      <c r="E9" s="5" t="n">
        <v>36</v>
      </c>
      <c r="F9" s="5" t="n">
        <v>0</v>
      </c>
      <c r="G9" s="5" t="n">
        <v>0</v>
      </c>
      <c r="H9" s="5" t="n">
        <v>51</v>
      </c>
      <c r="I9" s="5" t="n">
        <v>67</v>
      </c>
      <c r="J9" s="5" t="n">
        <v>67</v>
      </c>
      <c r="K9" s="5" t="n">
        <v>64</v>
      </c>
      <c r="L9" s="5" t="n">
        <v>58</v>
      </c>
      <c r="M9" s="5" t="n">
        <v>74</v>
      </c>
      <c r="N9" s="5" t="n">
        <v>0</v>
      </c>
      <c r="O9" s="5" t="n">
        <v>15</v>
      </c>
      <c r="P9" s="5" t="n">
        <v>85</v>
      </c>
      <c r="Q9" s="5" t="n">
        <v>145</v>
      </c>
      <c r="R9" s="5" t="n">
        <v>138</v>
      </c>
      <c r="S9" s="5" t="n">
        <v>160</v>
      </c>
      <c r="T9" s="5" t="n">
        <v>75</v>
      </c>
      <c r="U9" s="5" t="n">
        <v>0</v>
      </c>
      <c r="V9" s="5" t="n">
        <v>36</v>
      </c>
      <c r="W9" s="5" t="n">
        <v>64</v>
      </c>
      <c r="X9" s="5" t="n">
        <v>63</v>
      </c>
      <c r="Y9" s="5" t="n">
        <v>49</v>
      </c>
      <c r="Z9" s="5" t="n">
        <v>106</v>
      </c>
      <c r="AA9" s="5" t="n">
        <v>0</v>
      </c>
      <c r="AB9" s="5" t="n">
        <v>0</v>
      </c>
      <c r="AC9" s="5" t="n">
        <v>0</v>
      </c>
      <c r="AD9" s="5" t="n">
        <v>4</v>
      </c>
      <c r="AE9" s="5" t="n">
        <v>31</v>
      </c>
      <c r="AF9" s="18" t="n">
        <f aca="false">SUM(B9:AE9)</f>
        <v>1558</v>
      </c>
      <c r="AG9" s="18" t="n">
        <f aca="false">COUNTIF(B9:AE9,"&gt;0")</f>
        <v>23</v>
      </c>
      <c r="AH9" s="19" t="n">
        <f aca="false">IFERROR(AF9/AG9,0)</f>
        <v>67.7391304347826</v>
      </c>
    </row>
    <row r="10" customFormat="false" ht="15" hidden="false" customHeight="false" outlineLevel="0" collapsed="false">
      <c r="A10" s="4" t="s">
        <v>19</v>
      </c>
      <c r="B10" s="5" t="n">
        <v>0</v>
      </c>
      <c r="C10" s="5" t="n">
        <v>0</v>
      </c>
      <c r="D10" s="5" t="n">
        <v>0</v>
      </c>
      <c r="E10" s="5" t="n">
        <v>60</v>
      </c>
      <c r="F10" s="5" t="n">
        <v>0</v>
      </c>
      <c r="G10" s="5" t="n">
        <v>0</v>
      </c>
      <c r="H10" s="5" t="n">
        <v>0</v>
      </c>
      <c r="I10" s="5" t="n">
        <v>5</v>
      </c>
      <c r="J10" s="5" t="n">
        <v>0</v>
      </c>
      <c r="K10" s="5" t="n">
        <v>17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50</v>
      </c>
      <c r="W10" s="5" t="n">
        <v>30</v>
      </c>
      <c r="X10" s="5" t="n">
        <v>37</v>
      </c>
      <c r="Y10" s="5" t="n">
        <v>21</v>
      </c>
      <c r="Z10" s="5" t="n">
        <v>21</v>
      </c>
      <c r="AA10" s="5" t="n">
        <v>24</v>
      </c>
      <c r="AB10" s="5" t="n">
        <v>0</v>
      </c>
      <c r="AC10" s="5" t="n">
        <v>0</v>
      </c>
      <c r="AD10" s="5" t="n">
        <v>4</v>
      </c>
      <c r="AE10" s="5" t="n">
        <v>0</v>
      </c>
      <c r="AF10" s="18" t="n">
        <f aca="false">SUM(B10:AE10)</f>
        <v>279</v>
      </c>
      <c r="AG10" s="18" t="n">
        <f aca="false">COUNTIF(B10:AE10,"&gt;0")</f>
        <v>11</v>
      </c>
      <c r="AH10" s="19" t="n">
        <f aca="false">IFERROR(AF10/AG10,0)</f>
        <v>25.3636363636364</v>
      </c>
    </row>
    <row r="11" customFormat="false" ht="15" hidden="false" customHeight="false" outlineLevel="0" collapsed="false">
      <c r="A11" s="4" t="s">
        <v>20</v>
      </c>
      <c r="B11" s="5" t="n">
        <v>249</v>
      </c>
      <c r="C11" s="5" t="n">
        <v>32</v>
      </c>
      <c r="D11" s="5" t="n">
        <v>29</v>
      </c>
      <c r="E11" s="5" t="n">
        <v>36</v>
      </c>
      <c r="F11" s="5" t="n">
        <v>41</v>
      </c>
      <c r="G11" s="5" t="n">
        <v>0</v>
      </c>
      <c r="H11" s="5" t="n">
        <v>53</v>
      </c>
      <c r="I11" s="5" t="n">
        <v>266</v>
      </c>
      <c r="J11" s="5" t="n">
        <v>31</v>
      </c>
      <c r="K11" s="5" t="n">
        <v>21</v>
      </c>
      <c r="L11" s="5" t="n">
        <v>72</v>
      </c>
      <c r="M11" s="5" t="n">
        <v>48</v>
      </c>
      <c r="N11" s="5" t="n">
        <v>0</v>
      </c>
      <c r="O11" s="5" t="n">
        <v>272</v>
      </c>
      <c r="P11" s="5" t="n">
        <v>44</v>
      </c>
      <c r="Q11" s="5" t="n">
        <v>51</v>
      </c>
      <c r="R11" s="5" t="n">
        <v>281</v>
      </c>
      <c r="S11" s="5" t="n">
        <v>38</v>
      </c>
      <c r="T11" s="5" t="n">
        <v>53</v>
      </c>
      <c r="U11" s="5" t="n">
        <v>2</v>
      </c>
      <c r="V11" s="5" t="n">
        <v>263</v>
      </c>
      <c r="W11" s="5" t="n">
        <v>49</v>
      </c>
      <c r="X11" s="5" t="n">
        <v>50</v>
      </c>
      <c r="Y11" s="5" t="n">
        <v>270</v>
      </c>
      <c r="Z11" s="5" t="n">
        <v>46</v>
      </c>
      <c r="AA11" s="5" t="n">
        <v>40</v>
      </c>
      <c r="AB11" s="5" t="n">
        <v>0</v>
      </c>
      <c r="AC11" s="5" t="n">
        <v>0</v>
      </c>
      <c r="AD11" s="5" t="n">
        <v>272</v>
      </c>
      <c r="AE11" s="5" t="n">
        <v>112</v>
      </c>
      <c r="AF11" s="18" t="n">
        <f aca="false">SUM(B11:AE11)</f>
        <v>2721</v>
      </c>
      <c r="AG11" s="18" t="n">
        <f aca="false">COUNTIF(B11:AE11,"&gt;0")</f>
        <v>26</v>
      </c>
      <c r="AH11" s="19" t="n">
        <f aca="false">IFERROR(AF11/AG11,0)</f>
        <v>104.653846153846</v>
      </c>
    </row>
    <row r="12" customFormat="false" ht="15" hidden="false" customHeight="false" outlineLevel="0" collapsed="false">
      <c r="A12" s="4" t="s">
        <v>21</v>
      </c>
      <c r="B12" s="5" t="n">
        <v>63</v>
      </c>
      <c r="C12" s="5" t="n">
        <v>43</v>
      </c>
      <c r="D12" s="5" t="n">
        <v>144</v>
      </c>
      <c r="E12" s="5" t="n">
        <v>65</v>
      </c>
      <c r="F12" s="5" t="n">
        <v>25</v>
      </c>
      <c r="G12" s="5" t="n">
        <v>0</v>
      </c>
      <c r="H12" s="5" t="n">
        <v>8</v>
      </c>
      <c r="I12" s="5" t="n">
        <v>101</v>
      </c>
      <c r="J12" s="5" t="n">
        <v>92</v>
      </c>
      <c r="K12" s="5" t="n">
        <v>137</v>
      </c>
      <c r="L12" s="5" t="n">
        <v>86</v>
      </c>
      <c r="M12" s="5" t="n">
        <v>31</v>
      </c>
      <c r="N12" s="5" t="n">
        <v>0</v>
      </c>
      <c r="O12" s="5" t="n">
        <v>36</v>
      </c>
      <c r="P12" s="5" t="n">
        <v>60</v>
      </c>
      <c r="Q12" s="5" t="n">
        <v>72</v>
      </c>
      <c r="R12" s="5" t="n">
        <v>34</v>
      </c>
      <c r="S12" s="5" t="n">
        <v>118</v>
      </c>
      <c r="T12" s="5" t="n">
        <v>22</v>
      </c>
      <c r="U12" s="5" t="n">
        <v>0</v>
      </c>
      <c r="V12" s="5" t="n">
        <v>43</v>
      </c>
      <c r="W12" s="5" t="n">
        <v>66</v>
      </c>
      <c r="X12" s="5" t="n">
        <v>147</v>
      </c>
      <c r="Y12" s="5" t="n">
        <v>144</v>
      </c>
      <c r="Z12" s="5" t="n">
        <v>58</v>
      </c>
      <c r="AA12" s="5" t="n">
        <v>22</v>
      </c>
      <c r="AB12" s="5" t="n">
        <v>0</v>
      </c>
      <c r="AC12" s="5" t="n">
        <v>0</v>
      </c>
      <c r="AD12" s="5" t="n">
        <v>50</v>
      </c>
      <c r="AE12" s="5" t="n">
        <v>40</v>
      </c>
      <c r="AF12" s="18" t="n">
        <f aca="false">SUM(B12:AE12)</f>
        <v>1707</v>
      </c>
      <c r="AG12" s="18" t="n">
        <f aca="false">COUNTIF(B12:AE12,"&gt;0")</f>
        <v>25</v>
      </c>
      <c r="AH12" s="19" t="n">
        <f aca="false">IFERROR(AF12/AG12,0)</f>
        <v>68.28</v>
      </c>
    </row>
    <row r="13" customFormat="false" ht="15" hidden="false" customHeight="false" outlineLevel="0" collapsed="false">
      <c r="A13" s="4" t="s">
        <v>22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18" t="n">
        <f aca="false">SUM(B13:AE13)</f>
        <v>0</v>
      </c>
      <c r="AG13" s="18" t="n">
        <f aca="false">COUNTIF(B13:AE13,"&gt;0")</f>
        <v>0</v>
      </c>
      <c r="AH13" s="19" t="n">
        <f aca="false">IFERROR(AF13/AG13,0)</f>
        <v>0</v>
      </c>
    </row>
    <row r="14" customFormat="false" ht="15" hidden="false" customHeight="false" outlineLevel="0" collapsed="false">
      <c r="A14" s="4" t="s">
        <v>23</v>
      </c>
      <c r="B14" s="5" t="n">
        <v>109</v>
      </c>
      <c r="C14" s="5" t="n">
        <v>101</v>
      </c>
      <c r="D14" s="5" t="n">
        <v>148</v>
      </c>
      <c r="E14" s="5" t="n">
        <v>115</v>
      </c>
      <c r="F14" s="5" t="n">
        <v>53</v>
      </c>
      <c r="G14" s="5" t="n">
        <v>0</v>
      </c>
      <c r="H14" s="5" t="n">
        <v>114</v>
      </c>
      <c r="I14" s="5" t="n">
        <v>140</v>
      </c>
      <c r="J14" s="5" t="n">
        <v>132</v>
      </c>
      <c r="K14" s="5" t="n">
        <v>92</v>
      </c>
      <c r="L14" s="5" t="n">
        <v>107</v>
      </c>
      <c r="M14" s="5" t="n">
        <v>109</v>
      </c>
      <c r="N14" s="5" t="n">
        <v>16</v>
      </c>
      <c r="O14" s="5" t="n">
        <v>122</v>
      </c>
      <c r="P14" s="5" t="n">
        <v>27</v>
      </c>
      <c r="Q14" s="5" t="n">
        <v>133</v>
      </c>
      <c r="R14" s="5" t="n">
        <v>114</v>
      </c>
      <c r="S14" s="5" t="n">
        <v>131</v>
      </c>
      <c r="T14" s="5" t="n">
        <v>85</v>
      </c>
      <c r="U14" s="5" t="n">
        <v>0</v>
      </c>
      <c r="V14" s="5" t="n">
        <v>104</v>
      </c>
      <c r="W14" s="5" t="n">
        <v>97</v>
      </c>
      <c r="X14" s="5" t="n">
        <v>110</v>
      </c>
      <c r="Y14" s="5" t="n">
        <v>116</v>
      </c>
      <c r="Z14" s="5" t="n">
        <v>111</v>
      </c>
      <c r="AA14" s="5" t="n">
        <v>86</v>
      </c>
      <c r="AB14" s="5" t="n">
        <v>0</v>
      </c>
      <c r="AC14" s="5" t="n">
        <v>0</v>
      </c>
      <c r="AD14" s="5" t="n">
        <v>86</v>
      </c>
      <c r="AE14" s="5" t="n">
        <v>105</v>
      </c>
      <c r="AF14" s="18" t="n">
        <f aca="false">SUM(B14:AE14)</f>
        <v>2663</v>
      </c>
      <c r="AG14" s="18" t="n">
        <f aca="false">COUNTIF(B14:AE14,"&gt;0")</f>
        <v>26</v>
      </c>
      <c r="AH14" s="19" t="n">
        <f aca="false">IFERROR(AF14/AG14,0)</f>
        <v>102.423076923077</v>
      </c>
    </row>
    <row r="15" customFormat="false" ht="15" hidden="false" customHeight="false" outlineLevel="0" collapsed="false">
      <c r="A15" s="4" t="s">
        <v>24</v>
      </c>
      <c r="B15" s="5" t="n">
        <v>7</v>
      </c>
      <c r="C15" s="5" t="n">
        <v>23</v>
      </c>
      <c r="D15" s="5" t="n">
        <v>192</v>
      </c>
      <c r="E15" s="5" t="n">
        <v>181</v>
      </c>
      <c r="F15" s="5" t="n">
        <v>199</v>
      </c>
      <c r="G15" s="5" t="n">
        <v>0</v>
      </c>
      <c r="H15" s="5" t="n">
        <v>51</v>
      </c>
      <c r="I15" s="5" t="n">
        <v>0</v>
      </c>
      <c r="J15" s="5" t="n">
        <v>183</v>
      </c>
      <c r="K15" s="5" t="n">
        <v>98</v>
      </c>
      <c r="L15" s="5" t="n">
        <v>403</v>
      </c>
      <c r="M15" s="5" t="n">
        <v>99</v>
      </c>
      <c r="N15" s="5" t="n">
        <v>0</v>
      </c>
      <c r="O15" s="5" t="n">
        <v>5</v>
      </c>
      <c r="P15" s="5" t="n">
        <v>114</v>
      </c>
      <c r="Q15" s="5" t="n">
        <v>9</v>
      </c>
      <c r="R15" s="5" t="n">
        <v>269</v>
      </c>
      <c r="S15" s="5" t="n">
        <v>304</v>
      </c>
      <c r="T15" s="5" t="n">
        <v>194</v>
      </c>
      <c r="U15" s="5" t="n">
        <v>0</v>
      </c>
      <c r="V15" s="5" t="n">
        <v>107</v>
      </c>
      <c r="W15" s="5" t="n">
        <v>164</v>
      </c>
      <c r="X15" s="5" t="n">
        <v>354</v>
      </c>
      <c r="Y15" s="5" t="n">
        <v>2</v>
      </c>
      <c r="Z15" s="5" t="n">
        <v>262</v>
      </c>
      <c r="AA15" s="5" t="n">
        <v>237</v>
      </c>
      <c r="AB15" s="5" t="n">
        <v>0</v>
      </c>
      <c r="AC15" s="5" t="n">
        <v>0</v>
      </c>
      <c r="AD15" s="5" t="n">
        <v>43</v>
      </c>
      <c r="AE15" s="5" t="n">
        <v>10</v>
      </c>
      <c r="AF15" s="18" t="n">
        <f aca="false">SUM(B15:AE15)</f>
        <v>3510</v>
      </c>
      <c r="AG15" s="18" t="n">
        <f aca="false">COUNTIF(B15:AE15,"&gt;0")</f>
        <v>24</v>
      </c>
      <c r="AH15" s="19" t="n">
        <f aca="false">IFERROR(AF15/AG15,0)</f>
        <v>146.25</v>
      </c>
    </row>
    <row r="16" customFormat="false" ht="15" hidden="false" customHeight="false" outlineLevel="0" collapsed="false">
      <c r="A16" s="11" t="s">
        <v>60</v>
      </c>
      <c r="B16" s="12" t="n">
        <f aca="false">SUM(B5:B15)</f>
        <v>741</v>
      </c>
      <c r="C16" s="12" t="n">
        <f aca="false">SUM(C5:C15)</f>
        <v>817</v>
      </c>
      <c r="D16" s="12" t="n">
        <f aca="false">SUM(D5:D15)</f>
        <v>1633</v>
      </c>
      <c r="E16" s="12" t="n">
        <f aca="false">SUM(E5:E15)</f>
        <v>1167</v>
      </c>
      <c r="F16" s="12" t="n">
        <f aca="false">SUM(F5:F15)</f>
        <v>798</v>
      </c>
      <c r="G16" s="12" t="n">
        <f aca="false">SUM(G5:G15)</f>
        <v>0</v>
      </c>
      <c r="H16" s="12" t="n">
        <f aca="false">SUM(H5:H15)</f>
        <v>862</v>
      </c>
      <c r="I16" s="12" t="n">
        <f aca="false">SUM(I5:I15)</f>
        <v>1149</v>
      </c>
      <c r="J16" s="12" t="n">
        <f aca="false">SUM(J5:J15)</f>
        <v>887</v>
      </c>
      <c r="K16" s="12" t="n">
        <f aca="false">SUM(K5:K15)</f>
        <v>1018</v>
      </c>
      <c r="L16" s="12" t="n">
        <f aca="false">SUM(L5:L15)</f>
        <v>1057</v>
      </c>
      <c r="M16" s="12" t="n">
        <f aca="false">SUM(M5:M15)</f>
        <v>598</v>
      </c>
      <c r="N16" s="12" t="n">
        <f aca="false">SUM(N5:N15)</f>
        <v>16</v>
      </c>
      <c r="O16" s="12" t="n">
        <f aca="false">SUM(O5:O15)</f>
        <v>563</v>
      </c>
      <c r="P16" s="12" t="n">
        <f aca="false">SUM(P5:P15)</f>
        <v>438</v>
      </c>
      <c r="Q16" s="12" t="n">
        <f aca="false">SUM(Q5:Q15)</f>
        <v>769</v>
      </c>
      <c r="R16" s="12" t="n">
        <f aca="false">SUM(R5:R15)</f>
        <v>1646</v>
      </c>
      <c r="S16" s="12" t="n">
        <f aca="false">SUM(S5:S15)</f>
        <v>1301</v>
      </c>
      <c r="T16" s="12" t="n">
        <f aca="false">SUM(T5:T15)</f>
        <v>676</v>
      </c>
      <c r="U16" s="12" t="n">
        <f aca="false">SUM(U5:U15)</f>
        <v>2</v>
      </c>
      <c r="V16" s="12" t="n">
        <f aca="false">SUM(V5:V15)</f>
        <v>1087</v>
      </c>
      <c r="W16" s="12" t="n">
        <f aca="false">SUM(W5:W15)</f>
        <v>1011</v>
      </c>
      <c r="X16" s="12" t="n">
        <f aca="false">SUM(X5:X15)</f>
        <v>1062</v>
      </c>
      <c r="Y16" s="12" t="n">
        <f aca="false">SUM(Y5:Y15)</f>
        <v>1208</v>
      </c>
      <c r="Z16" s="12" t="n">
        <f aca="false">SUM(Z5:Z15)</f>
        <v>977</v>
      </c>
      <c r="AA16" s="12" t="n">
        <f aca="false">SUM(AA5:AA15)</f>
        <v>730</v>
      </c>
      <c r="AB16" s="12" t="n">
        <f aca="false">SUM(AB5:AB15)</f>
        <v>0</v>
      </c>
      <c r="AC16" s="12" t="n">
        <f aca="false">SUM(AC5:AC15)</f>
        <v>0</v>
      </c>
      <c r="AD16" s="12" t="n">
        <f aca="false">SUM(AD5:AD15)</f>
        <v>672</v>
      </c>
      <c r="AE16" s="12" t="n">
        <f aca="false">SUM(AE5:AE15)</f>
        <v>731</v>
      </c>
      <c r="AF16" s="12" t="n">
        <f aca="false">SUM(AF5:AF15)</f>
        <v>23616</v>
      </c>
      <c r="AG16" s="12" t="n">
        <f aca="false">COUNTIF(B16:AE16,"&gt;0")</f>
        <v>27</v>
      </c>
      <c r="AH16" s="13" t="n">
        <f aca="false">IFERROR(AF16/AG16,0)</f>
        <v>874.666666666667</v>
      </c>
    </row>
    <row r="18" customFormat="false" ht="15" hidden="false" customHeight="false" outlineLevel="0" collapsed="false">
      <c r="A18" s="20" t="s">
        <v>61</v>
      </c>
    </row>
    <row r="19" customFormat="false" ht="15" hidden="false" customHeight="false" outlineLevel="0" collapsed="false">
      <c r="A19" s="21" t="s">
        <v>62</v>
      </c>
    </row>
    <row r="20" customFormat="false" ht="15" hidden="false" customHeight="false" outlineLevel="0" collapsed="false">
      <c r="A20" s="21" t="s">
        <v>63</v>
      </c>
    </row>
    <row r="21" customFormat="false" ht="15" hidden="false" customHeight="false" outlineLevel="0" collapsed="false">
      <c r="A21" s="21" t="s">
        <v>64</v>
      </c>
    </row>
    <row r="22" customFormat="false" ht="15" hidden="false" customHeight="false" outlineLevel="0" collapsed="false">
      <c r="A22" s="21" t="s">
        <v>65</v>
      </c>
    </row>
  </sheetData>
  <conditionalFormatting sqref="B5:AE15">
    <cfRule type="colorScale" priority="2">
      <colorScale>
        <cfvo type="num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2" t="s">
        <v>67</v>
      </c>
    </row>
    <row r="4" customFormat="false" ht="31.5" hidden="false" customHeight="true" outlineLevel="0" collapsed="false">
      <c r="A4" s="3" t="s">
        <v>2</v>
      </c>
      <c r="B4" s="3" t="s">
        <v>68</v>
      </c>
      <c r="C4" s="3" t="s">
        <v>69</v>
      </c>
      <c r="D4" s="3" t="s">
        <v>70</v>
      </c>
    </row>
    <row r="5" customFormat="false" ht="15" hidden="false" customHeight="false" outlineLevel="0" collapsed="false">
      <c r="A5" s="4" t="s">
        <v>20</v>
      </c>
      <c r="B5" s="4" t="n">
        <v>174</v>
      </c>
      <c r="C5" s="4" t="n">
        <f aca="false">B5-120</f>
        <v>54</v>
      </c>
      <c r="D5" s="4" t="str">
        <f aca="false">IF(C5&gt;=30,"ALTO",IF(C5&gt;=10,"MEDIO","BAJO"))</f>
        <v>ALTO</v>
      </c>
    </row>
    <row r="6" customFormat="false" ht="15" hidden="false" customHeight="false" outlineLevel="0" collapsed="false">
      <c r="A6" s="4" t="s">
        <v>21</v>
      </c>
      <c r="B6" s="4" t="n">
        <v>127</v>
      </c>
      <c r="C6" s="4" t="n">
        <f aca="false">B6-120</f>
        <v>7</v>
      </c>
      <c r="D6" s="4" t="str">
        <f aca="false">IF(C6&gt;=30,"ALTO",IF(C6&gt;=10,"MEDIO","BAJO"))</f>
        <v>BAJO</v>
      </c>
    </row>
    <row r="7" customFormat="false" ht="15" hidden="false" customHeight="false" outlineLevel="0" collapsed="false">
      <c r="A7" s="4" t="s">
        <v>16</v>
      </c>
      <c r="B7" s="4" t="n">
        <v>122</v>
      </c>
      <c r="C7" s="4" t="n">
        <f aca="false">B7-120</f>
        <v>2</v>
      </c>
      <c r="D7" s="4" t="str">
        <f aca="false">IF(C7&gt;=30,"ALTO",IF(C7&gt;=10,"MEDIO","BAJO"))</f>
        <v>BAJO</v>
      </c>
    </row>
    <row r="9" customFormat="false" ht="15" hidden="false" customHeight="false" outlineLevel="0" collapsed="false">
      <c r="A9" s="2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2" t="s">
        <v>73</v>
      </c>
    </row>
    <row r="4" customFormat="false" ht="31.5" hidden="false" customHeight="true" outlineLevel="0" collapsed="false">
      <c r="A4" s="3" t="s">
        <v>2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</row>
    <row r="5" customFormat="false" ht="15" hidden="false" customHeight="false" outlineLevel="0" collapsed="false">
      <c r="A5" s="4" t="s">
        <v>14</v>
      </c>
      <c r="B5" s="23"/>
      <c r="C5" s="23"/>
      <c r="D5" s="23"/>
      <c r="E5" s="23"/>
      <c r="F5" s="23"/>
    </row>
    <row r="6" customFormat="false" ht="15" hidden="false" customHeight="false" outlineLevel="0" collapsed="false">
      <c r="A6" s="4" t="s">
        <v>15</v>
      </c>
      <c r="B6" s="23"/>
      <c r="C6" s="23"/>
      <c r="D6" s="23"/>
      <c r="E6" s="23"/>
      <c r="F6" s="23"/>
    </row>
    <row r="7" customFormat="false" ht="15" hidden="false" customHeight="false" outlineLevel="0" collapsed="false">
      <c r="A7" s="4" t="s">
        <v>16</v>
      </c>
      <c r="B7" s="23"/>
      <c r="C7" s="23"/>
      <c r="D7" s="23"/>
      <c r="E7" s="23"/>
      <c r="F7" s="23"/>
    </row>
    <row r="8" customFormat="false" ht="15" hidden="false" customHeight="false" outlineLevel="0" collapsed="false">
      <c r="A8" s="4" t="s">
        <v>17</v>
      </c>
      <c r="B8" s="23"/>
      <c r="C8" s="23"/>
      <c r="D8" s="23"/>
      <c r="E8" s="23"/>
      <c r="F8" s="23"/>
    </row>
    <row r="9" customFormat="false" ht="15" hidden="false" customHeight="false" outlineLevel="0" collapsed="false">
      <c r="A9" s="4" t="s">
        <v>18</v>
      </c>
      <c r="B9" s="23"/>
      <c r="C9" s="23"/>
      <c r="D9" s="23"/>
      <c r="E9" s="23"/>
      <c r="F9" s="23"/>
    </row>
    <row r="10" customFormat="false" ht="15" hidden="false" customHeight="false" outlineLevel="0" collapsed="false">
      <c r="A10" s="4" t="s">
        <v>19</v>
      </c>
      <c r="B10" s="23"/>
      <c r="C10" s="23"/>
      <c r="D10" s="23"/>
      <c r="E10" s="23"/>
      <c r="F10" s="23"/>
    </row>
    <row r="11" customFormat="false" ht="15" hidden="false" customHeight="false" outlineLevel="0" collapsed="false">
      <c r="A11" s="4" t="s">
        <v>20</v>
      </c>
      <c r="B11" s="23"/>
      <c r="C11" s="23"/>
      <c r="D11" s="23"/>
      <c r="E11" s="23"/>
      <c r="F11" s="23"/>
    </row>
    <row r="12" customFormat="false" ht="15" hidden="false" customHeight="false" outlineLevel="0" collapsed="false">
      <c r="A12" s="4" t="s">
        <v>21</v>
      </c>
      <c r="B12" s="23"/>
      <c r="C12" s="23"/>
      <c r="D12" s="23"/>
      <c r="E12" s="23"/>
      <c r="F12" s="23"/>
    </row>
    <row r="13" customFormat="false" ht="15" hidden="false" customHeight="false" outlineLevel="0" collapsed="false">
      <c r="A13" s="4" t="s">
        <v>22</v>
      </c>
      <c r="B13" s="23"/>
      <c r="C13" s="23"/>
      <c r="D13" s="23"/>
      <c r="E13" s="23"/>
      <c r="F13" s="23"/>
    </row>
    <row r="14" customFormat="false" ht="15" hidden="false" customHeight="false" outlineLevel="0" collapsed="false">
      <c r="A14" s="4" t="s">
        <v>23</v>
      </c>
      <c r="B14" s="23"/>
      <c r="C14" s="23"/>
      <c r="D14" s="23"/>
      <c r="E14" s="23"/>
      <c r="F14" s="23"/>
    </row>
    <row r="15" customFormat="false" ht="15" hidden="false" customHeight="false" outlineLevel="0" collapsed="false">
      <c r="A15" s="4" t="s">
        <v>24</v>
      </c>
      <c r="B15" s="23"/>
      <c r="C15" s="23"/>
      <c r="D15" s="23"/>
      <c r="E15" s="23"/>
      <c r="F15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2026-10-13T15:27:40Z</dcterms:created>
  <dc:creator>openpyxl</dc:creator>
  <dc:description/>
  <dc:language>en-US</dc:language>
  <cp:lastModifiedBy/>
  <dcterms:modified xsi:type="dcterms:W3CDTF">2026-10-13T15:27:40Z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